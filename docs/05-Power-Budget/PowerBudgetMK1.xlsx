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rizonastateu-my.sharepoint.com/personal/mjkim21_sundevils_asu_edu/Documents/"/>
    </mc:Choice>
  </mc:AlternateContent>
  <xr:revisionPtr revIDLastSave="215" documentId="8_{18F9019F-D42B-45A8-B1BB-FE23A85124F6}" xr6:coauthVersionLast="47" xr6:coauthVersionMax="47" xr10:uidLastSave="{C0C90A85-D179-409C-B62D-44F84EAABFFC}"/>
  <bookViews>
    <workbookView xWindow="1837" yWindow="667" windowWidth="21211" windowHeight="13613" xr2:uid="{00000000-000D-0000-FFFF-FFFF00000000}"/>
  </bookViews>
  <sheets>
    <sheet name="Power Budget" sheetId="1" r:id="rId1"/>
  </sheets>
  <definedNames>
    <definedName name="_xlnm.Print_Area" localSheetId="0">'Power Budget'!$A$1:$H$45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1" l="1"/>
  <c r="G17" i="1"/>
  <c r="G33" i="1"/>
  <c r="G19" i="1"/>
  <c r="G40" i="1"/>
  <c r="D27" i="1"/>
  <c r="G13" i="1"/>
  <c r="D26" i="1"/>
  <c r="D25" i="1"/>
  <c r="C26" i="1"/>
  <c r="C25" i="1"/>
  <c r="C18" i="1"/>
  <c r="G41" i="1"/>
  <c r="G39" i="1"/>
  <c r="G38" i="1"/>
  <c r="G26" i="1"/>
  <c r="G25" i="1"/>
  <c r="G18" i="1"/>
  <c r="G12" i="1"/>
  <c r="G9" i="1"/>
  <c r="G28" i="1" l="1"/>
  <c r="G21" i="1"/>
  <c r="G42" i="1"/>
  <c r="G3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8" authorId="0" shapeId="0" xr:uid="{00000000-0006-0000-0000-000001000000}">
      <text>
        <r>
          <rPr>
            <sz val="12"/>
            <color rgb="FF000000"/>
            <rFont val="Calibri"/>
          </rPr>
          <t>For inductive loads (e.g., motors, solenoids) this is often called "stall current" on the data sheet</t>
        </r>
      </text>
    </comment>
  </commentList>
</comments>
</file>

<file path=xl/sharedStrings.xml><?xml version="1.0" encoding="utf-8"?>
<sst xmlns="http://schemas.openxmlformats.org/spreadsheetml/2006/main" count="122" uniqueCount="61">
  <si>
    <t>Team Number:</t>
  </si>
  <si>
    <t>Project Name:</t>
  </si>
  <si>
    <t>Team Member Names:</t>
  </si>
  <si>
    <t>Version:</t>
  </si>
  <si>
    <t>A. List ALL major components (active devices, integrated circuits, etc.) except for power sources, voltage regulators, resistors, capacitors, or passive elements</t>
  </si>
  <si>
    <t>All Major Components</t>
  </si>
  <si>
    <t>Component Name</t>
  </si>
  <si>
    <t>Part Number</t>
  </si>
  <si>
    <t>Supply
Voltage
Range</t>
  </si>
  <si>
    <t>Absolute
Maximum
Current (mA)</t>
  </si>
  <si>
    <t>Total
Current
(mA)</t>
  </si>
  <si>
    <t>Unit</t>
  </si>
  <si>
    <t>Solenoid</t>
  </si>
  <si>
    <t>(full part number)</t>
  </si>
  <si>
    <t xml:space="preserve"> +12 - 24V</t>
  </si>
  <si>
    <t>mA</t>
  </si>
  <si>
    <t>PSoC™ 4 BLE Module</t>
  </si>
  <si>
    <t>(range)</t>
  </si>
  <si>
    <t xml:space="preserve">Subtotal </t>
  </si>
  <si>
    <t>Safety Margin</t>
  </si>
  <si>
    <t xml:space="preserve"> +5V Power Rail</t>
  </si>
  <si>
    <t>Total Current Required on +5V Rail</t>
  </si>
  <si>
    <t xml:space="preserve"> +5V Regulator</t>
  </si>
  <si>
    <t>LM7805</t>
  </si>
  <si>
    <t>Total Remaining Current Available on +5V Rail</t>
  </si>
  <si>
    <t>External Power Source 1</t>
  </si>
  <si>
    <t>Output Voltage</t>
  </si>
  <si>
    <t>Power Source 1 Selection</t>
  </si>
  <si>
    <t>Plug-in Wall Supply</t>
  </si>
  <si>
    <t>Power Rails Connected to External Power Source 1</t>
  </si>
  <si>
    <t>Total Remaining Current Available on External Power Source 1</t>
  </si>
  <si>
    <t>External Supply Voltage should be determined by the dropout voltage for highest-voltage regulator (e.g., +14V for a +12V regulator).</t>
  </si>
  <si>
    <t>Supply Voltage Range</t>
  </si>
  <si>
    <t>Qty.</t>
  </si>
  <si>
    <t>Regulator</t>
  </si>
  <si>
    <t>Total Current
(mA)</t>
  </si>
  <si>
    <t>Absolute Maximum Current (mA)</t>
  </si>
  <si>
    <t>Notes:</t>
  </si>
  <si>
    <t xml:space="preserve">Power Budget </t>
  </si>
  <si>
    <t>Speaker</t>
  </si>
  <si>
    <t xml:space="preserve"> +5 - 12V</t>
  </si>
  <si>
    <t>MOSFET</t>
  </si>
  <si>
    <t>PIC18F57Q43-CNANO</t>
  </si>
  <si>
    <t>50CS08FH-1</t>
  </si>
  <si>
    <t>FIT0617</t>
  </si>
  <si>
    <t>LM7805CV</t>
  </si>
  <si>
    <t>EGR 304 Project</t>
  </si>
  <si>
    <t>Michael, Levi, Hafsa, Kelton</t>
  </si>
  <si>
    <t>+1.8-5.5V</t>
  </si>
  <si>
    <t>MicroController</t>
  </si>
  <si>
    <t>+5-35V</t>
  </si>
  <si>
    <t>+5- 35V</t>
  </si>
  <si>
    <t xml:space="preserve"> +9V Power Rail</t>
  </si>
  <si>
    <t>Total Current Required on +9V Rail</t>
  </si>
  <si>
    <t>Transistors</t>
  </si>
  <si>
    <t>2N904/6</t>
  </si>
  <si>
    <t>+V9</t>
  </si>
  <si>
    <t>STP55NF06</t>
  </si>
  <si>
    <t xml:space="preserve"> +6- 24V</t>
  </si>
  <si>
    <t>Regulator Input</t>
  </si>
  <si>
    <t>9VDC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</si>
</sst>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rgb="FF000000"/>
      <name val="Calibri"/>
    </font>
    <font>
      <b/>
      <sz val="24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name val="Calibri"/>
      <family val="2"/>
    </font>
    <font>
      <b/>
      <i/>
      <sz val="12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EECE1"/>
        <bgColor rgb="FFEEECE1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rgb="FFEEECE1"/>
      </patternFill>
    </fill>
    <fill>
      <patternFill patternType="solid">
        <fgColor theme="0"/>
        <bgColor rgb="FFFFFF00"/>
      </patternFill>
    </fill>
  </fills>
  <borders count="4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2" fillId="0" borderId="2" xfId="0" applyFont="1" applyBorder="1"/>
    <xf numFmtId="0" fontId="2" fillId="0" borderId="0" xfId="0" applyFont="1" applyAlignment="1">
      <alignment horizontal="center"/>
    </xf>
    <xf numFmtId="0" fontId="3" fillId="0" borderId="2" xfId="0" applyFont="1" applyBorder="1"/>
    <xf numFmtId="0" fontId="5" fillId="0" borderId="2" xfId="0" applyFont="1" applyBorder="1"/>
    <xf numFmtId="0" fontId="5" fillId="0" borderId="2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3" xfId="0" applyFont="1" applyBorder="1" applyAlignment="1">
      <alignment horizontal="center"/>
    </xf>
    <xf numFmtId="0" fontId="3" fillId="0" borderId="4" xfId="0" applyFont="1" applyBorder="1" applyAlignment="1">
      <alignment horizontal="right"/>
    </xf>
    <xf numFmtId="0" fontId="4" fillId="0" borderId="4" xfId="0" applyFont="1" applyBorder="1"/>
    <xf numFmtId="0" fontId="3" fillId="0" borderId="4" xfId="0" applyFont="1" applyBorder="1"/>
    <xf numFmtId="0" fontId="2" fillId="0" borderId="6" xfId="0" applyFont="1" applyBorder="1"/>
    <xf numFmtId="0" fontId="2" fillId="0" borderId="6" xfId="0" applyFont="1" applyBorder="1" applyAlignment="1">
      <alignment horizontal="center"/>
    </xf>
    <xf numFmtId="49" fontId="2" fillId="0" borderId="6" xfId="0" applyNumberFormat="1" applyFont="1" applyBorder="1" applyAlignment="1">
      <alignment horizontal="center"/>
    </xf>
    <xf numFmtId="0" fontId="2" fillId="0" borderId="8" xfId="0" applyFont="1" applyBorder="1"/>
    <xf numFmtId="0" fontId="2" fillId="0" borderId="8" xfId="0" applyFont="1" applyBorder="1" applyAlignment="1">
      <alignment horizont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horizontal="center"/>
    </xf>
    <xf numFmtId="0" fontId="2" fillId="0" borderId="4" xfId="0" applyFont="1" applyBorder="1"/>
    <xf numFmtId="0" fontId="3" fillId="0" borderId="4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2" fillId="0" borderId="13" xfId="0" applyFont="1" applyBorder="1"/>
    <xf numFmtId="0" fontId="2" fillId="0" borderId="14" xfId="0" applyFont="1" applyBorder="1"/>
    <xf numFmtId="0" fontId="2" fillId="0" borderId="14" xfId="0" applyFont="1" applyBorder="1" applyAlignment="1">
      <alignment horizontal="center"/>
    </xf>
    <xf numFmtId="0" fontId="2" fillId="0" borderId="16" xfId="0" applyFont="1" applyBorder="1"/>
    <xf numFmtId="0" fontId="5" fillId="0" borderId="0" xfId="0" applyFont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9" fontId="2" fillId="0" borderId="18" xfId="0" applyNumberFormat="1" applyFont="1" applyBorder="1" applyAlignment="1">
      <alignment horizontal="center"/>
    </xf>
    <xf numFmtId="0" fontId="2" fillId="0" borderId="4" xfId="0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5" fillId="0" borderId="4" xfId="0" applyFont="1" applyBorder="1" applyAlignment="1">
      <alignment horizontal="left"/>
    </xf>
    <xf numFmtId="49" fontId="5" fillId="0" borderId="4" xfId="0" applyNumberFormat="1" applyFont="1" applyBorder="1" applyAlignment="1">
      <alignment horizontal="right"/>
    </xf>
    <xf numFmtId="0" fontId="2" fillId="0" borderId="6" xfId="0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0" fontId="5" fillId="0" borderId="18" xfId="0" applyFont="1" applyBorder="1" applyAlignment="1">
      <alignment horizontal="left"/>
    </xf>
    <xf numFmtId="0" fontId="5" fillId="3" borderId="10" xfId="0" applyFont="1" applyFill="1" applyBorder="1" applyAlignment="1">
      <alignment vertical="center"/>
    </xf>
    <xf numFmtId="0" fontId="2" fillId="0" borderId="8" xfId="0" applyFont="1" applyBorder="1" applyAlignment="1">
      <alignment horizontal="left"/>
    </xf>
    <xf numFmtId="0" fontId="5" fillId="3" borderId="9" xfId="0" applyFont="1" applyFill="1" applyBorder="1" applyAlignment="1">
      <alignment vertical="center"/>
    </xf>
    <xf numFmtId="0" fontId="5" fillId="3" borderId="19" xfId="0" applyFont="1" applyFill="1" applyBorder="1" applyAlignment="1">
      <alignment vertical="center"/>
    </xf>
    <xf numFmtId="0" fontId="3" fillId="3" borderId="20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 wrapText="1"/>
    </xf>
    <xf numFmtId="0" fontId="3" fillId="3" borderId="21" xfId="0" applyFont="1" applyFill="1" applyBorder="1" applyAlignment="1">
      <alignment horizontal="center" vertical="center"/>
    </xf>
    <xf numFmtId="0" fontId="3" fillId="0" borderId="22" xfId="0" applyFont="1" applyBorder="1" applyAlignment="1">
      <alignment horizontal="left"/>
    </xf>
    <xf numFmtId="0" fontId="3" fillId="0" borderId="1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2" fillId="2" borderId="33" xfId="0" applyFont="1" applyFill="1" applyBorder="1" applyAlignment="1">
      <alignment horizontal="center"/>
    </xf>
    <xf numFmtId="0" fontId="2" fillId="2" borderId="36" xfId="0" applyFont="1" applyFill="1" applyBorder="1" applyAlignment="1">
      <alignment horizontal="center"/>
    </xf>
    <xf numFmtId="0" fontId="5" fillId="0" borderId="4" xfId="0" applyFont="1" applyBorder="1" applyAlignment="1">
      <alignment wrapText="1"/>
    </xf>
    <xf numFmtId="0" fontId="5" fillId="0" borderId="4" xfId="0" applyFont="1" applyBorder="1" applyAlignment="1">
      <alignment horizontal="center" wrapText="1"/>
    </xf>
    <xf numFmtId="0" fontId="2" fillId="0" borderId="18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6" xfId="0" quotePrefix="1" applyFont="1" applyBorder="1" applyAlignment="1">
      <alignment horizontal="center"/>
    </xf>
    <xf numFmtId="0" fontId="2" fillId="0" borderId="14" xfId="0" quotePrefix="1" applyFont="1" applyBorder="1" applyAlignment="1">
      <alignment horizontal="center"/>
    </xf>
    <xf numFmtId="0" fontId="2" fillId="0" borderId="18" xfId="0" quotePrefix="1" applyFont="1" applyBorder="1" applyAlignment="1">
      <alignment horizontal="center"/>
    </xf>
    <xf numFmtId="0" fontId="3" fillId="5" borderId="21" xfId="0" applyFont="1" applyFill="1" applyBorder="1" applyAlignment="1">
      <alignment horizontal="center" vertical="center"/>
    </xf>
    <xf numFmtId="0" fontId="2" fillId="6" borderId="36" xfId="0" applyFont="1" applyFill="1" applyBorder="1" applyAlignment="1">
      <alignment horizontal="center"/>
    </xf>
    <xf numFmtId="0" fontId="2" fillId="0" borderId="8" xfId="0" quotePrefix="1" applyFont="1" applyBorder="1" applyAlignment="1">
      <alignment horizontal="center"/>
    </xf>
    <xf numFmtId="0" fontId="2" fillId="0" borderId="35" xfId="0" applyFont="1" applyBorder="1" applyAlignment="1">
      <alignment wrapText="1"/>
    </xf>
    <xf numFmtId="0" fontId="0" fillId="0" borderId="33" xfId="0" applyBorder="1"/>
    <xf numFmtId="0" fontId="0" fillId="0" borderId="36" xfId="0" applyBorder="1"/>
    <xf numFmtId="0" fontId="0" fillId="0" borderId="25" xfId="0" applyBorder="1"/>
    <xf numFmtId="0" fontId="0" fillId="0" borderId="26" xfId="0" applyBorder="1"/>
    <xf numFmtId="0" fontId="0" fillId="0" borderId="37" xfId="0" applyBorder="1"/>
    <xf numFmtId="0" fontId="5" fillId="2" borderId="35" xfId="0" applyFont="1" applyFill="1" applyBorder="1"/>
    <xf numFmtId="0" fontId="5" fillId="2" borderId="33" xfId="0" applyFont="1" applyFill="1" applyBorder="1"/>
    <xf numFmtId="0" fontId="1" fillId="4" borderId="0" xfId="0" applyFont="1" applyFill="1" applyAlignment="1">
      <alignment horizontal="center"/>
    </xf>
    <xf numFmtId="0" fontId="2" fillId="4" borderId="0" xfId="0" applyFont="1" applyFill="1"/>
    <xf numFmtId="0" fontId="5" fillId="2" borderId="1" xfId="0" applyFont="1" applyFill="1" applyBorder="1" applyAlignment="1">
      <alignment wrapText="1"/>
    </xf>
    <xf numFmtId="0" fontId="4" fillId="0" borderId="5" xfId="0" applyFont="1" applyBorder="1"/>
    <xf numFmtId="0" fontId="4" fillId="0" borderId="7" xfId="0" applyFont="1" applyBorder="1"/>
    <xf numFmtId="0" fontId="3" fillId="0" borderId="16" xfId="0" applyFont="1" applyBorder="1" applyAlignment="1">
      <alignment horizontal="left" vertical="center" wrapText="1"/>
    </xf>
    <xf numFmtId="0" fontId="4" fillId="0" borderId="16" xfId="0" applyFont="1" applyBorder="1"/>
    <xf numFmtId="0" fontId="4" fillId="0" borderId="40" xfId="0" applyFont="1" applyBorder="1"/>
    <xf numFmtId="0" fontId="4" fillId="0" borderId="23" xfId="0" applyFont="1" applyBorder="1"/>
    <xf numFmtId="49" fontId="5" fillId="0" borderId="39" xfId="0" applyNumberFormat="1" applyFont="1" applyBorder="1" applyAlignment="1">
      <alignment horizontal="right"/>
    </xf>
    <xf numFmtId="49" fontId="5" fillId="0" borderId="38" xfId="0" applyNumberFormat="1" applyFont="1" applyBorder="1" applyAlignment="1">
      <alignment horizontal="right"/>
    </xf>
    <xf numFmtId="49" fontId="5" fillId="0" borderId="34" xfId="0" applyNumberFormat="1" applyFont="1" applyBorder="1" applyAlignment="1">
      <alignment horizontal="right"/>
    </xf>
    <xf numFmtId="0" fontId="5" fillId="0" borderId="8" xfId="0" applyFont="1" applyBorder="1" applyAlignment="1">
      <alignment horizontal="right"/>
    </xf>
    <xf numFmtId="0" fontId="5" fillId="0" borderId="18" xfId="0" applyFont="1" applyBorder="1" applyAlignment="1">
      <alignment horizontal="right"/>
    </xf>
    <xf numFmtId="49" fontId="5" fillId="0" borderId="29" xfId="0" applyNumberFormat="1" applyFont="1" applyBorder="1" applyAlignment="1">
      <alignment horizontal="right"/>
    </xf>
    <xf numFmtId="49" fontId="5" fillId="0" borderId="30" xfId="0" applyNumberFormat="1" applyFont="1" applyBorder="1" applyAlignment="1">
      <alignment horizontal="right"/>
    </xf>
    <xf numFmtId="49" fontId="5" fillId="0" borderId="31" xfId="0" applyNumberFormat="1" applyFont="1" applyBorder="1" applyAlignment="1">
      <alignment horizontal="right"/>
    </xf>
    <xf numFmtId="0" fontId="5" fillId="0" borderId="41" xfId="0" applyFont="1" applyBorder="1" applyAlignment="1">
      <alignment horizontal="right"/>
    </xf>
    <xf numFmtId="0" fontId="5" fillId="0" borderId="42" xfId="0" applyFont="1" applyBorder="1" applyAlignment="1">
      <alignment horizontal="right"/>
    </xf>
    <xf numFmtId="0" fontId="5" fillId="0" borderId="43" xfId="0" applyFont="1" applyBorder="1" applyAlignment="1">
      <alignment horizontal="right"/>
    </xf>
    <xf numFmtId="0" fontId="2" fillId="5" borderId="44" xfId="0" applyFont="1" applyFill="1" applyBorder="1" applyAlignment="1">
      <alignment vertical="center"/>
    </xf>
    <xf numFmtId="0" fontId="2" fillId="5" borderId="14" xfId="0" applyFont="1" applyFill="1" applyBorder="1" applyAlignment="1">
      <alignment horizontal="center" vertical="center"/>
    </xf>
    <xf numFmtId="0" fontId="2" fillId="5" borderId="14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000000"/>
      </font>
      <fill>
        <patternFill patternType="solid">
          <fgColor rgb="FFF4CCCC"/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J75"/>
  <sheetViews>
    <sheetView tabSelected="1" topLeftCell="A11" zoomScale="83" workbookViewId="0">
      <selection activeCell="K36" sqref="K36"/>
    </sheetView>
  </sheetViews>
  <sheetFormatPr defaultColWidth="13.5" defaultRowHeight="15.75" customHeight="1" x14ac:dyDescent="0.5"/>
  <cols>
    <col min="1" max="1" width="22.5" style="1" customWidth="1"/>
    <col min="2" max="2" width="20.125" style="1" customWidth="1"/>
    <col min="3" max="3" width="15.75" style="1" customWidth="1"/>
    <col min="4" max="4" width="11.5" style="1" customWidth="1"/>
    <col min="5" max="5" width="7.25" style="1" customWidth="1"/>
    <col min="6" max="6" width="12.375" style="5" customWidth="1"/>
    <col min="7" max="7" width="11.375" style="5" customWidth="1"/>
    <col min="8" max="8" width="9" style="5" customWidth="1"/>
    <col min="9" max="16384" width="13.5" style="1"/>
  </cols>
  <sheetData>
    <row r="1" spans="1:8" ht="30" customHeight="1" x14ac:dyDescent="0.9">
      <c r="A1" s="75" t="s">
        <v>38</v>
      </c>
      <c r="B1" s="76"/>
      <c r="C1" s="76"/>
      <c r="D1" s="76"/>
      <c r="E1" s="76"/>
      <c r="F1" s="76"/>
      <c r="G1" s="76"/>
      <c r="H1" s="76"/>
    </row>
    <row r="2" spans="1:8" ht="15" customHeight="1" x14ac:dyDescent="0.5">
      <c r="A2" s="11" t="s">
        <v>0</v>
      </c>
      <c r="B2" s="12">
        <v>211</v>
      </c>
      <c r="D2" s="2"/>
      <c r="E2" s="2"/>
    </row>
    <row r="3" spans="1:8" ht="15" customHeight="1" x14ac:dyDescent="0.5">
      <c r="A3" s="11" t="s">
        <v>1</v>
      </c>
      <c r="B3" s="13" t="s">
        <v>46</v>
      </c>
      <c r="C3" s="3"/>
      <c r="D3" s="2"/>
      <c r="E3" s="2"/>
      <c r="F3" s="2"/>
      <c r="G3" s="2"/>
      <c r="H3" s="2"/>
    </row>
    <row r="4" spans="1:8" ht="15" customHeight="1" x14ac:dyDescent="0.5">
      <c r="A4" s="11" t="s">
        <v>2</v>
      </c>
      <c r="B4" s="13" t="s">
        <v>47</v>
      </c>
      <c r="C4" s="3"/>
      <c r="D4" s="2"/>
      <c r="E4" s="2"/>
      <c r="F4" s="2"/>
      <c r="G4" s="2"/>
      <c r="H4" s="2"/>
    </row>
    <row r="5" spans="1:8" ht="15" customHeight="1" x14ac:dyDescent="0.5">
      <c r="A5" s="11" t="s">
        <v>3</v>
      </c>
      <c r="B5" s="13">
        <v>1</v>
      </c>
      <c r="C5" s="3"/>
      <c r="D5" s="2"/>
      <c r="E5" s="2"/>
      <c r="F5" s="2"/>
      <c r="G5" s="2"/>
      <c r="H5" s="2"/>
    </row>
    <row r="6" spans="1:8" ht="15" customHeight="1" x14ac:dyDescent="0.5">
      <c r="A6" s="3"/>
      <c r="B6" s="3"/>
      <c r="C6" s="3"/>
      <c r="D6" s="2"/>
      <c r="E6" s="2"/>
      <c r="F6" s="2"/>
      <c r="G6" s="2"/>
      <c r="H6" s="2"/>
    </row>
    <row r="7" spans="1:8" ht="15" hidden="1" customHeight="1" x14ac:dyDescent="0.5">
      <c r="A7" s="77" t="s">
        <v>4</v>
      </c>
      <c r="B7" s="78"/>
      <c r="C7" s="78"/>
      <c r="D7" s="78"/>
      <c r="E7" s="78"/>
      <c r="F7" s="78"/>
      <c r="G7" s="78"/>
      <c r="H7" s="79"/>
    </row>
    <row r="8" spans="1:8" ht="47.65" thickBot="1" x14ac:dyDescent="0.55000000000000004">
      <c r="A8" s="19" t="s">
        <v>5</v>
      </c>
      <c r="B8" s="20" t="s">
        <v>6</v>
      </c>
      <c r="C8" s="20" t="s">
        <v>7</v>
      </c>
      <c r="D8" s="21" t="s">
        <v>32</v>
      </c>
      <c r="E8" s="20" t="s">
        <v>33</v>
      </c>
      <c r="F8" s="21" t="s">
        <v>36</v>
      </c>
      <c r="G8" s="21" t="s">
        <v>35</v>
      </c>
      <c r="H8" s="20" t="s">
        <v>11</v>
      </c>
    </row>
    <row r="9" spans="1:8" ht="15" customHeight="1" x14ac:dyDescent="0.5">
      <c r="A9" s="4"/>
      <c r="B9" s="26" t="s">
        <v>12</v>
      </c>
      <c r="C9" s="27" t="s">
        <v>44</v>
      </c>
      <c r="D9" s="62" t="s">
        <v>58</v>
      </c>
      <c r="E9" s="28">
        <v>1</v>
      </c>
      <c r="F9" s="28">
        <v>100</v>
      </c>
      <c r="G9" s="28">
        <f t="shared" ref="G9:G12" si="0">E9*F9</f>
        <v>100</v>
      </c>
      <c r="H9" s="31" t="s">
        <v>15</v>
      </c>
    </row>
    <row r="10" spans="1:8" ht="15" customHeight="1" x14ac:dyDescent="0.5">
      <c r="A10" s="4"/>
      <c r="B10" s="29" t="s">
        <v>39</v>
      </c>
      <c r="C10" s="14" t="s">
        <v>43</v>
      </c>
      <c r="D10" s="61" t="s">
        <v>40</v>
      </c>
      <c r="E10" s="15">
        <v>1</v>
      </c>
      <c r="F10" s="15">
        <v>625</v>
      </c>
      <c r="G10" s="15">
        <v>625</v>
      </c>
      <c r="H10" s="32" t="s">
        <v>15</v>
      </c>
    </row>
    <row r="11" spans="1:8" ht="15" customHeight="1" x14ac:dyDescent="0.5">
      <c r="A11" s="4"/>
      <c r="B11" s="29" t="s">
        <v>54</v>
      </c>
      <c r="C11" s="14" t="s">
        <v>55</v>
      </c>
      <c r="D11" s="61" t="s">
        <v>17</v>
      </c>
      <c r="E11" s="15">
        <v>2</v>
      </c>
      <c r="F11" s="15">
        <v>200</v>
      </c>
      <c r="G11" s="15">
        <v>200</v>
      </c>
      <c r="H11" s="32" t="s">
        <v>15</v>
      </c>
    </row>
    <row r="12" spans="1:8" ht="15" customHeight="1" x14ac:dyDescent="0.5">
      <c r="A12" s="4"/>
      <c r="B12" s="29" t="s">
        <v>49</v>
      </c>
      <c r="C12" s="14" t="s">
        <v>42</v>
      </c>
      <c r="D12" s="61" t="s">
        <v>48</v>
      </c>
      <c r="E12" s="15">
        <v>1</v>
      </c>
      <c r="F12" s="15">
        <v>500</v>
      </c>
      <c r="G12" s="15">
        <f t="shared" si="0"/>
        <v>500</v>
      </c>
      <c r="H12" s="32" t="s">
        <v>15</v>
      </c>
    </row>
    <row r="13" spans="1:8" ht="15" customHeight="1" thickBot="1" x14ac:dyDescent="0.55000000000000004">
      <c r="A13" s="41"/>
      <c r="B13" s="40" t="s">
        <v>22</v>
      </c>
      <c r="C13" s="40" t="s">
        <v>45</v>
      </c>
      <c r="D13" s="63" t="s">
        <v>50</v>
      </c>
      <c r="E13" s="33">
        <v>1</v>
      </c>
      <c r="F13" s="33">
        <v>1000</v>
      </c>
      <c r="G13" s="33">
        <f>E13*F13</f>
        <v>1000</v>
      </c>
      <c r="H13" s="33" t="s">
        <v>15</v>
      </c>
    </row>
    <row r="14" spans="1:8" ht="15" customHeight="1" thickTop="1" x14ac:dyDescent="0.5">
      <c r="A14" s="4"/>
      <c r="B14" s="29" t="s">
        <v>41</v>
      </c>
      <c r="C14" s="14" t="s">
        <v>57</v>
      </c>
      <c r="D14" s="16" t="s">
        <v>17</v>
      </c>
      <c r="E14" s="15">
        <v>2</v>
      </c>
      <c r="F14" s="15">
        <v>100</v>
      </c>
      <c r="G14" s="15">
        <v>100</v>
      </c>
      <c r="H14" s="32" t="s">
        <v>15</v>
      </c>
    </row>
    <row r="15" spans="1:8" ht="15" customHeight="1" x14ac:dyDescent="0.5">
      <c r="A15" s="6"/>
      <c r="B15" s="13"/>
      <c r="C15" s="13"/>
      <c r="D15" s="24"/>
      <c r="E15" s="24"/>
      <c r="F15" s="24"/>
      <c r="G15" s="25"/>
      <c r="H15" s="25"/>
    </row>
    <row r="16" spans="1:8" ht="15" customHeight="1" thickBot="1" x14ac:dyDescent="0.55000000000000004">
      <c r="A16" s="44" t="s">
        <v>52</v>
      </c>
      <c r="B16" s="20" t="s">
        <v>6</v>
      </c>
      <c r="C16" s="20" t="s">
        <v>7</v>
      </c>
      <c r="D16" s="21" t="s">
        <v>32</v>
      </c>
      <c r="E16" s="20" t="s">
        <v>33</v>
      </c>
      <c r="F16" s="21" t="s">
        <v>36</v>
      </c>
      <c r="G16" s="21" t="s">
        <v>35</v>
      </c>
      <c r="H16" s="20" t="s">
        <v>11</v>
      </c>
    </row>
    <row r="17" spans="1:8" ht="15" customHeight="1" thickBot="1" x14ac:dyDescent="0.55000000000000004">
      <c r="A17" s="95"/>
      <c r="B17" s="96" t="s">
        <v>59</v>
      </c>
      <c r="C17" s="40" t="s">
        <v>45</v>
      </c>
      <c r="D17" s="63" t="s">
        <v>50</v>
      </c>
      <c r="E17" s="96">
        <v>1</v>
      </c>
      <c r="F17" s="97">
        <f>G30</f>
        <v>625</v>
      </c>
      <c r="G17" s="97">
        <f>G30</f>
        <v>625</v>
      </c>
      <c r="H17" s="96" t="s">
        <v>15</v>
      </c>
    </row>
    <row r="18" spans="1:8" ht="15" customHeight="1" thickTop="1" x14ac:dyDescent="0.5">
      <c r="A18" s="4"/>
      <c r="B18" s="17" t="s">
        <v>12</v>
      </c>
      <c r="C18" s="17" t="str">
        <f>C9</f>
        <v>FIT0617</v>
      </c>
      <c r="D18" s="18" t="s">
        <v>14</v>
      </c>
      <c r="E18" s="18">
        <v>1</v>
      </c>
      <c r="F18" s="18">
        <v>100</v>
      </c>
      <c r="G18" s="18">
        <f t="shared" ref="G18" si="1">E18*F18</f>
        <v>100</v>
      </c>
      <c r="H18" s="18" t="s">
        <v>15</v>
      </c>
    </row>
    <row r="19" spans="1:8" x14ac:dyDescent="0.5">
      <c r="A19" s="4"/>
      <c r="B19" s="23"/>
      <c r="C19" s="23"/>
      <c r="D19" s="92" t="s">
        <v>18</v>
      </c>
      <c r="E19" s="93"/>
      <c r="F19" s="94"/>
      <c r="G19" s="18">
        <f>SUM(G17:G18)</f>
        <v>725</v>
      </c>
      <c r="H19" s="18" t="s">
        <v>15</v>
      </c>
    </row>
    <row r="20" spans="1:8" ht="15" customHeight="1" thickBot="1" x14ac:dyDescent="0.55000000000000004">
      <c r="A20" s="4"/>
      <c r="B20" s="23"/>
      <c r="C20" s="23"/>
      <c r="D20" s="88" t="s">
        <v>19</v>
      </c>
      <c r="E20" s="88"/>
      <c r="F20" s="88"/>
      <c r="G20" s="34">
        <v>0.25</v>
      </c>
      <c r="H20" s="34"/>
    </row>
    <row r="21" spans="1:8" ht="15" customHeight="1" thickTop="1" x14ac:dyDescent="0.5">
      <c r="A21" s="7"/>
      <c r="B21" s="23"/>
      <c r="C21" s="23"/>
      <c r="D21" s="87" t="s">
        <v>53</v>
      </c>
      <c r="E21" s="87"/>
      <c r="F21" s="87"/>
      <c r="G21" s="18">
        <f>G19*(1+G20)</f>
        <v>906.25</v>
      </c>
      <c r="H21" s="18" t="s">
        <v>15</v>
      </c>
    </row>
    <row r="22" spans="1:8" ht="15" customHeight="1" x14ac:dyDescent="0.5">
      <c r="A22" s="8"/>
      <c r="B22" s="9"/>
      <c r="C22" s="9"/>
      <c r="D22" s="5"/>
      <c r="E22" s="5"/>
      <c r="G22" s="22"/>
      <c r="H22" s="22"/>
    </row>
    <row r="23" spans="1:8" ht="15" customHeight="1" x14ac:dyDescent="0.5">
      <c r="A23" s="37"/>
      <c r="B23" s="38"/>
      <c r="C23" s="12"/>
      <c r="D23" s="12"/>
      <c r="E23" s="12"/>
      <c r="F23" s="12"/>
      <c r="G23" s="36"/>
      <c r="H23" s="36"/>
    </row>
    <row r="24" spans="1:8" ht="15" customHeight="1" thickBot="1" x14ac:dyDescent="0.55000000000000004">
      <c r="A24" s="42" t="s">
        <v>20</v>
      </c>
      <c r="B24" s="20" t="s">
        <v>6</v>
      </c>
      <c r="C24" s="20" t="s">
        <v>7</v>
      </c>
      <c r="D24" s="21" t="s">
        <v>8</v>
      </c>
      <c r="E24" s="20" t="s">
        <v>33</v>
      </c>
      <c r="F24" s="21" t="s">
        <v>9</v>
      </c>
      <c r="G24" s="21" t="s">
        <v>10</v>
      </c>
      <c r="H24" s="20" t="s">
        <v>11</v>
      </c>
    </row>
    <row r="25" spans="1:8" ht="15" customHeight="1" x14ac:dyDescent="0.5">
      <c r="A25" s="4"/>
      <c r="B25" s="17" t="s">
        <v>16</v>
      </c>
      <c r="C25" s="17" t="str">
        <f>C12</f>
        <v>PIC18F57Q43-CNANO</v>
      </c>
      <c r="D25" s="18" t="str">
        <f>D12</f>
        <v>+1.8-5.5V</v>
      </c>
      <c r="E25" s="18">
        <v>1</v>
      </c>
      <c r="F25" s="18">
        <v>200</v>
      </c>
      <c r="G25" s="18">
        <f t="shared" ref="G25:G26" si="2">E25*F25</f>
        <v>200</v>
      </c>
      <c r="H25" s="18" t="s">
        <v>15</v>
      </c>
    </row>
    <row r="26" spans="1:8" ht="15" customHeight="1" x14ac:dyDescent="0.5">
      <c r="A26" s="4"/>
      <c r="B26" s="14" t="s">
        <v>39</v>
      </c>
      <c r="C26" s="14" t="str">
        <f>C10</f>
        <v>50CS08FH-1</v>
      </c>
      <c r="D26" s="15" t="str">
        <f>D10</f>
        <v xml:space="preserve"> +5 - 12V</v>
      </c>
      <c r="E26" s="15">
        <v>1</v>
      </c>
      <c r="F26" s="15">
        <v>100</v>
      </c>
      <c r="G26" s="15">
        <f t="shared" si="2"/>
        <v>100</v>
      </c>
      <c r="H26" s="15" t="s">
        <v>15</v>
      </c>
    </row>
    <row r="27" spans="1:8" ht="15" customHeight="1" x14ac:dyDescent="0.5">
      <c r="A27" s="29"/>
      <c r="B27" s="29" t="s">
        <v>54</v>
      </c>
      <c r="C27" s="14" t="s">
        <v>55</v>
      </c>
      <c r="D27" s="16" t="str">
        <f>D14</f>
        <v>(range)</v>
      </c>
      <c r="E27" s="15">
        <v>2</v>
      </c>
      <c r="F27" s="15">
        <v>200</v>
      </c>
      <c r="G27" s="32">
        <v>200</v>
      </c>
      <c r="H27" s="18" t="s">
        <v>15</v>
      </c>
    </row>
    <row r="28" spans="1:8" ht="15" customHeight="1" thickBot="1" x14ac:dyDescent="0.55000000000000004">
      <c r="A28" s="4"/>
      <c r="B28" s="23"/>
      <c r="C28" s="23"/>
      <c r="D28" s="87" t="s">
        <v>18</v>
      </c>
      <c r="E28" s="87"/>
      <c r="F28" s="87"/>
      <c r="G28" s="18">
        <f>SUM(G25:G27)</f>
        <v>500</v>
      </c>
      <c r="H28" s="34" t="s">
        <v>15</v>
      </c>
    </row>
    <row r="29" spans="1:8" ht="15" customHeight="1" thickTop="1" thickBot="1" x14ac:dyDescent="0.55000000000000004">
      <c r="A29" s="4"/>
      <c r="D29" s="88" t="s">
        <v>19</v>
      </c>
      <c r="E29" s="88"/>
      <c r="F29" s="88"/>
      <c r="G29" s="34">
        <v>0.25</v>
      </c>
      <c r="H29" s="18" t="s">
        <v>15</v>
      </c>
    </row>
    <row r="30" spans="1:8" ht="16.149999999999999" thickTop="1" x14ac:dyDescent="0.5">
      <c r="A30" s="7"/>
      <c r="D30" s="87" t="s">
        <v>21</v>
      </c>
      <c r="E30" s="87"/>
      <c r="F30" s="87"/>
      <c r="G30" s="18">
        <f>G28*(1+G29)</f>
        <v>625</v>
      </c>
      <c r="H30" s="10" t="s">
        <v>15</v>
      </c>
    </row>
    <row r="31" spans="1:8" ht="15" customHeight="1" thickBot="1" x14ac:dyDescent="0.55000000000000004">
      <c r="A31" s="8"/>
      <c r="B31" s="35"/>
      <c r="C31" s="35"/>
      <c r="D31" s="36"/>
      <c r="E31" s="36"/>
      <c r="F31" s="36"/>
      <c r="G31" s="10"/>
      <c r="H31" s="33"/>
    </row>
    <row r="32" spans="1:8" ht="15" customHeight="1" thickTop="1" thickBot="1" x14ac:dyDescent="0.55000000000000004">
      <c r="A32" s="41" t="s">
        <v>34</v>
      </c>
      <c r="B32" s="40" t="s">
        <v>22</v>
      </c>
      <c r="C32" s="40" t="s">
        <v>45</v>
      </c>
      <c r="D32" s="33" t="s">
        <v>17</v>
      </c>
      <c r="E32" s="33">
        <v>1</v>
      </c>
      <c r="F32" s="33">
        <v>1000</v>
      </c>
      <c r="G32" s="33">
        <v>1000</v>
      </c>
      <c r="H32" s="18" t="s">
        <v>15</v>
      </c>
    </row>
    <row r="33" spans="1:8" ht="15" customHeight="1" thickTop="1" thickBot="1" x14ac:dyDescent="0.55000000000000004">
      <c r="A33" s="37"/>
      <c r="B33" s="89" t="s">
        <v>24</v>
      </c>
      <c r="C33" s="90"/>
      <c r="D33" s="90"/>
      <c r="E33" s="90"/>
      <c r="F33" s="91"/>
      <c r="G33" s="18">
        <f>G32-G30</f>
        <v>375</v>
      </c>
      <c r="H33" s="53" t="s">
        <v>15</v>
      </c>
    </row>
    <row r="34" spans="1:8" ht="15" customHeight="1" thickBot="1" x14ac:dyDescent="0.55000000000000004">
      <c r="A34" s="57"/>
      <c r="B34" s="57"/>
      <c r="C34" s="57"/>
      <c r="D34" s="57"/>
      <c r="E34" s="57"/>
      <c r="F34" s="58"/>
      <c r="G34" s="54"/>
      <c r="H34" s="64"/>
    </row>
    <row r="35" spans="1:8" ht="15" customHeight="1" thickBot="1" x14ac:dyDescent="0.55000000000000004">
      <c r="A35" s="45" t="s">
        <v>25</v>
      </c>
      <c r="B35" s="46" t="s">
        <v>6</v>
      </c>
      <c r="C35" s="46" t="s">
        <v>7</v>
      </c>
      <c r="D35" s="47" t="s">
        <v>8</v>
      </c>
      <c r="E35" s="47" t="s">
        <v>26</v>
      </c>
      <c r="F35" s="47" t="s">
        <v>9</v>
      </c>
      <c r="G35" s="47" t="s">
        <v>10</v>
      </c>
      <c r="H35" s="48" t="s">
        <v>11</v>
      </c>
    </row>
    <row r="36" spans="1:8" ht="15" customHeight="1" x14ac:dyDescent="0.5">
      <c r="A36" s="49" t="s">
        <v>27</v>
      </c>
      <c r="B36" s="43" t="s">
        <v>28</v>
      </c>
      <c r="C36" s="18" t="s">
        <v>13</v>
      </c>
      <c r="D36" s="18" t="s">
        <v>60</v>
      </c>
      <c r="E36" s="66" t="s">
        <v>56</v>
      </c>
      <c r="F36" s="18">
        <v>5000</v>
      </c>
      <c r="G36" s="18">
        <v>5000</v>
      </c>
      <c r="H36" s="32" t="s">
        <v>15</v>
      </c>
    </row>
    <row r="37" spans="1:8" ht="15" customHeight="1" x14ac:dyDescent="0.5">
      <c r="A37" s="50"/>
      <c r="B37" s="39"/>
      <c r="C37" s="39"/>
      <c r="D37" s="15"/>
      <c r="E37" s="15"/>
      <c r="F37" s="15"/>
      <c r="G37" s="15"/>
      <c r="H37" s="32"/>
    </row>
    <row r="38" spans="1:8" ht="15" customHeight="1" x14ac:dyDescent="0.5">
      <c r="A38" s="80" t="s">
        <v>29</v>
      </c>
      <c r="B38" s="39" t="s">
        <v>22</v>
      </c>
      <c r="C38" s="39" t="s">
        <v>23</v>
      </c>
      <c r="D38" s="61" t="s">
        <v>51</v>
      </c>
      <c r="E38" s="15">
        <v>1</v>
      </c>
      <c r="F38" s="15">
        <v>1000</v>
      </c>
      <c r="G38" s="15">
        <f t="shared" ref="G38:G41" si="3">E38*F38</f>
        <v>1000</v>
      </c>
      <c r="H38" s="32" t="s">
        <v>15</v>
      </c>
    </row>
    <row r="39" spans="1:8" ht="15" customHeight="1" thickBot="1" x14ac:dyDescent="0.55000000000000004">
      <c r="A39" s="81"/>
      <c r="B39" s="39" t="s">
        <v>22</v>
      </c>
      <c r="C39" s="39" t="s">
        <v>23</v>
      </c>
      <c r="D39" s="61" t="s">
        <v>51</v>
      </c>
      <c r="E39" s="15">
        <v>1</v>
      </c>
      <c r="F39" s="15">
        <v>1000</v>
      </c>
      <c r="G39" s="15">
        <f t="shared" si="3"/>
        <v>1000</v>
      </c>
      <c r="H39" s="60" t="s">
        <v>15</v>
      </c>
    </row>
    <row r="40" spans="1:8" ht="15" customHeight="1" thickTop="1" thickBot="1" x14ac:dyDescent="0.55000000000000004">
      <c r="A40" s="82"/>
      <c r="B40" s="39" t="s">
        <v>22</v>
      </c>
      <c r="C40" s="39" t="s">
        <v>23</v>
      </c>
      <c r="D40" s="61" t="s">
        <v>51</v>
      </c>
      <c r="E40" s="15">
        <v>1</v>
      </c>
      <c r="F40" s="15">
        <v>1000</v>
      </c>
      <c r="G40" s="15">
        <f t="shared" ref="G40" si="4">E40*F40</f>
        <v>1000</v>
      </c>
      <c r="H40" s="60" t="s">
        <v>15</v>
      </c>
    </row>
    <row r="41" spans="1:8" ht="15" customHeight="1" thickTop="1" thickBot="1" x14ac:dyDescent="0.55000000000000004">
      <c r="A41" s="83"/>
      <c r="B41" s="39" t="s">
        <v>22</v>
      </c>
      <c r="C41" s="39" t="s">
        <v>23</v>
      </c>
      <c r="D41" s="61" t="s">
        <v>51</v>
      </c>
      <c r="E41" s="59">
        <v>1</v>
      </c>
      <c r="F41" s="59">
        <v>1000</v>
      </c>
      <c r="G41" s="59">
        <f t="shared" si="3"/>
        <v>1000</v>
      </c>
      <c r="H41" s="52" t="s">
        <v>15</v>
      </c>
    </row>
    <row r="42" spans="1:8" ht="16.5" thickTop="1" thickBot="1" x14ac:dyDescent="0.55000000000000004">
      <c r="A42" s="84" t="s">
        <v>30</v>
      </c>
      <c r="B42" s="85"/>
      <c r="C42" s="85"/>
      <c r="D42" s="85"/>
      <c r="E42" s="85"/>
      <c r="F42" s="86"/>
      <c r="G42" s="51">
        <f>G36-SUM(G38:G41)</f>
        <v>1000</v>
      </c>
      <c r="H42" s="36"/>
    </row>
    <row r="43" spans="1:8" ht="15" customHeight="1" thickBot="1" x14ac:dyDescent="0.55000000000000004">
      <c r="A43" s="23"/>
      <c r="D43" s="5"/>
      <c r="E43" s="5"/>
      <c r="F43" s="30"/>
      <c r="G43" s="36"/>
      <c r="H43" s="65"/>
    </row>
    <row r="44" spans="1:8" ht="15" customHeight="1" thickBot="1" x14ac:dyDescent="0.55000000000000004">
      <c r="A44" s="73" t="s">
        <v>37</v>
      </c>
      <c r="B44" s="74"/>
      <c r="C44" s="74"/>
      <c r="D44" s="74"/>
      <c r="E44" s="74"/>
      <c r="F44" s="74"/>
      <c r="G44" s="55"/>
      <c r="H44" s="56"/>
    </row>
    <row r="45" spans="1:8" ht="15" customHeight="1" x14ac:dyDescent="0.5">
      <c r="A45" s="67" t="s">
        <v>31</v>
      </c>
      <c r="B45" s="68"/>
      <c r="C45" s="68"/>
      <c r="D45" s="68"/>
      <c r="E45" s="68"/>
      <c r="F45" s="68"/>
      <c r="G45" s="68"/>
      <c r="H45" s="69"/>
    </row>
    <row r="46" spans="1:8" ht="15" customHeight="1" thickBot="1" x14ac:dyDescent="0.55000000000000004">
      <c r="A46" s="70"/>
      <c r="B46" s="71"/>
      <c r="C46" s="71"/>
      <c r="D46" s="71"/>
      <c r="E46" s="71"/>
      <c r="F46" s="71"/>
      <c r="G46" s="71"/>
      <c r="H46" s="72"/>
    </row>
    <row r="47" spans="1:8" ht="15" customHeight="1" x14ac:dyDescent="0.5"/>
    <row r="48" spans="1:8" ht="15" customHeight="1" x14ac:dyDescent="0.5"/>
    <row r="50" spans="1:10" ht="15" customHeight="1" x14ac:dyDescent="0.5"/>
    <row r="51" spans="1:10" s="23" customFormat="1" ht="15" customHeight="1" x14ac:dyDescent="0.5">
      <c r="A51" s="1"/>
      <c r="B51" s="1"/>
      <c r="C51" s="1"/>
      <c r="D51" s="1"/>
      <c r="E51" s="1"/>
      <c r="F51" s="5"/>
      <c r="G51" s="5"/>
      <c r="H51" s="5"/>
    </row>
    <row r="52" spans="1:10" x14ac:dyDescent="0.5"/>
    <row r="53" spans="1:10" ht="15" customHeight="1" x14ac:dyDescent="0.5"/>
    <row r="54" spans="1:10" ht="15" customHeight="1" x14ac:dyDescent="0.5"/>
    <row r="55" spans="1:10" ht="15" customHeight="1" x14ac:dyDescent="0.5"/>
    <row r="56" spans="1:10" ht="15" customHeight="1" x14ac:dyDescent="0.5"/>
    <row r="58" spans="1:10" ht="15" customHeight="1" x14ac:dyDescent="0.5"/>
    <row r="59" spans="1:10" ht="15" customHeight="1" x14ac:dyDescent="0.5">
      <c r="I59" s="23"/>
    </row>
    <row r="60" spans="1:10" x14ac:dyDescent="0.5"/>
    <row r="61" spans="1:10" ht="15" customHeight="1" x14ac:dyDescent="0.5">
      <c r="J61" s="23"/>
    </row>
    <row r="62" spans="1:10" ht="15" customHeight="1" x14ac:dyDescent="0.5"/>
    <row r="63" spans="1:10" ht="15" customHeight="1" x14ac:dyDescent="0.5"/>
    <row r="64" spans="1:10" ht="15" customHeight="1" x14ac:dyDescent="0.5"/>
    <row r="65" spans="9:9" ht="15" customHeight="1" x14ac:dyDescent="0.5"/>
    <row r="66" spans="9:9" ht="15" customHeight="1" x14ac:dyDescent="0.5"/>
    <row r="67" spans="9:9" ht="15" customHeight="1" x14ac:dyDescent="0.5"/>
    <row r="68" spans="9:9" ht="15" customHeight="1" x14ac:dyDescent="0.5">
      <c r="I68" s="23"/>
    </row>
    <row r="69" spans="9:9" x14ac:dyDescent="0.5"/>
    <row r="70" spans="9:9" ht="15" customHeight="1" x14ac:dyDescent="0.5"/>
    <row r="71" spans="9:9" ht="15" customHeight="1" x14ac:dyDescent="0.5"/>
    <row r="72" spans="9:9" ht="15" customHeight="1" x14ac:dyDescent="0.5"/>
    <row r="73" spans="9:9" ht="15" customHeight="1" x14ac:dyDescent="0.5"/>
    <row r="74" spans="9:9" ht="15" customHeight="1" x14ac:dyDescent="0.5"/>
    <row r="75" spans="9:9" ht="15" customHeight="1" x14ac:dyDescent="0.5"/>
  </sheetData>
  <mergeCells count="13">
    <mergeCell ref="A45:H46"/>
    <mergeCell ref="A44:F44"/>
    <mergeCell ref="A1:H1"/>
    <mergeCell ref="A7:H7"/>
    <mergeCell ref="A38:A41"/>
    <mergeCell ref="A42:F42"/>
    <mergeCell ref="D19:F19"/>
    <mergeCell ref="D20:F20"/>
    <mergeCell ref="D21:F21"/>
    <mergeCell ref="D28:F28"/>
    <mergeCell ref="D29:F29"/>
    <mergeCell ref="D30:F30"/>
    <mergeCell ref="B33:F33"/>
  </mergeCells>
  <conditionalFormatting sqref="G23 G33">
    <cfRule type="cellIs" dxfId="0" priority="1" operator="lessThan">
      <formula>0</formula>
    </cfRule>
  </conditionalFormatting>
  <printOptions horizontalCentered="1"/>
  <pageMargins left="0.25" right="0" top="0.5" bottom="0.5" header="0.3" footer="0.3"/>
  <pageSetup fitToHeight="0" orientation="landscape" r:id="rId1"/>
  <rowBreaks count="2" manualBreakCount="2">
    <brk id="22" max="7" man="1"/>
    <brk id="32" max="7" man="1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Power Budget</vt:lpstr>
      <vt:lpstr>'Power Budget'!Print_Area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Kim (Student)</cp:lastModifiedBy>
  <cp:lastPrinted>2025-11-08T19:36:43Z</cp:lastPrinted>
  <dcterms:created xsi:type="dcterms:W3CDTF">2025-10-18T03:22:53Z</dcterms:created>
  <dcterms:modified xsi:type="dcterms:W3CDTF">2025-11-08T19:41:43Z</dcterms:modified>
</cp:coreProperties>
</file>